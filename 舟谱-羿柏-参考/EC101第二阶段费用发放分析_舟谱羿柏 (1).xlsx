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舟谱-羿柏" sheetId="2" r:id="rId5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<sst xmlns="http://schemas.openxmlformats.org/spreadsheetml/2006/main" count="135" uniqueCount="135">
  <si>
    <t xml:space="preserve">  </t>
  </si>
  <si>
    <t xml:space="preserve">舟谱-羿柏费用发放数据支持分析</t>
  </si>
  <si>
    <t xml:space="preserve">活动明细期间：2026-08-26至2026-09-08　　新增销售明细覆盖：2026-08-28至2026-09-10</t>
  </si>
  <si>
    <t xml:space="preserve">结论：五份新增销售明细覆盖全部51张已使用券对应的51个SXD。活动明细中3条“已使用2张”记录已把逗号分隔的关联单据编号拆成6个独立SXD。‘支付时间’列实际记录支付方式：41笔货到付款、10笔在线支付；10笔在线支付均有流水，但1笔已支付金额与销售明细实际金额相差868元。订单状态存在层级差异：SXD为48笔已完成、3笔已下发；对应XD为43笔已完成、4笔待签收、1笔待出库、3笔未找到。按XD严格已完成口径为645元，最终费用确认点仍需业务和财务统一。</t>
  </si>
  <si>
    <t xml:space="preserve">已领取优惠券</t>
  </si>
  <si>
    <t xml:space="preserve">已使用优惠券</t>
  </si>
  <si>
    <t xml:space="preserve">XD状态已完成</t>
  </si>
  <si>
    <t xml:space="preserve">严格完成口径候选费用</t>
  </si>
  <si>
    <t xml:space="preserve">三层判断</t>
  </si>
  <si>
    <t xml:space="preserve">判断层面</t>
  </si>
  <si>
    <t xml:space="preserve">要回答的问题</t>
  </si>
  <si>
    <t xml:space="preserve">舟谱结论</t>
  </si>
  <si>
    <t xml:space="preserve">数据依据</t>
  </si>
  <si>
    <t xml:space="preserve">口径边界</t>
  </si>
  <si>
    <t xml:space="preserve">1. 最小字段支持</t>
  </si>
  <si>
    <t xml:space="preserve">现有最小字段能否直接完成关联和费用核算？</t>
  </si>
  <si>
    <t xml:space="preserve">核心关联和费用试算支持；最终支付条件仍缺</t>
  </si>
  <si>
    <t xml:space="preserve">五份新增明细去除合计行与1条重复明细后，共40,472条、2,679个SXD；51/51个用券订单均有明细，并含订单状态、支付方式、支付流水号、下游订单编号和金额。</t>
  </si>
  <si>
    <t xml:space="preserve">支付时间没有时间戳；没有订单类型、订单来源和优惠券使用时间；41笔货到付款没有支付流水。</t>
  </si>
  <si>
    <t xml:space="preserve">2. 数据关联</t>
  </si>
  <si>
    <t xml:space="preserve">客户、商品、发券订单、用券订单能否连成业务链？</t>
  </si>
  <si>
    <t xml:space="preserve">SXD明细与XD编号关联完整；XD事实仍缺3单</t>
  </si>
  <si>
    <t xml:space="preserve">48条活动使用记录中，3条各含两个SXD；按逗号拆分后得到51个唯一SXD。51/51命中新增明细并取得51个不同XD编号，48/51个XD在下游事实中找到。</t>
  </si>
  <si>
    <t xml:space="preserve">SXD显示48笔已完成，但XD只有43笔已完成；两个层级的‘完成’状态不能视为同一口径。</t>
  </si>
  <si>
    <t xml:space="preserve">3. 费用发放</t>
  </si>
  <si>
    <t xml:space="preserve">券是否真实使用、订单是否履约、费用能否结算？</t>
  </si>
  <si>
    <t xml:space="preserve">名义费用765元；严格完成645元；出库口径705元；全部结款450元</t>
  </si>
  <si>
    <t xml:space="preserve">XD状态：43笔已完成、4笔待签收、1笔待出库、3笔未找到。结款状态：30笔全部结款、17笔未结款、1笔部分结款、3笔未找到。</t>
  </si>
  <si>
    <t xml:space="preserve">发放规则必须明确采用XD已完成、已出库还是全部结款；不能混用不同状态层级。</t>
  </si>
  <si>
    <t xml:space="preserve">客户、商品、优惠券、SXD和XD如何关联</t>
  </si>
  <si>
    <t xml:space="preserve">左侧数据</t>
  </si>
  <si>
    <t xml:space="preserve">关联字段</t>
  </si>
  <si>
    <t xml:space="preserve">右侧数据</t>
  </si>
  <si>
    <t xml:space="preserve">验证结果</t>
  </si>
  <si>
    <t xml:space="preserve">注意事项</t>
  </si>
  <si>
    <t xml:space="preserve">客户档案</t>
  </si>
  <si>
    <t xml:space="preserve">老板电话；助记码+片区</t>
  </si>
  <si>
    <t xml:space="preserve">XD销售订单</t>
  </si>
  <si>
    <t xml:space="preserve">客户1,008/1,008、订单4,134/4,134命中</t>
  </si>
  <si>
    <t xml:space="preserve">客户编码填充率约0.4%，不能作为主键</t>
  </si>
  <si>
    <t xml:space="preserve">商品档案</t>
  </si>
  <si>
    <t xml:space="preserve">商品唯一序号；小单位条码</t>
  </si>
  <si>
    <t xml:space="preserve">XD销售订单</t>
  </si>
  <si>
    <t xml:space="preserve">1,700/1,701个SKU命中，品牌一致率100%</t>
  </si>
  <si>
    <t xml:space="preserve">商品编号为空；仍有1个SKU未同步</t>
  </si>
  <si>
    <t xml:space="preserve">优惠券活动明细</t>
  </si>
  <si>
    <t xml:space="preserve">关联单据编号</t>
  </si>
  <si>
    <t xml:space="preserve">SXD销售订单</t>
  </si>
  <si>
    <t xml:space="preserve">48条有使用记录的活动行中，3条‘已使用2张’且各含两个逗号分隔SXD；拆分后得到51个独立SXD，51/51命中新增明细</t>
  </si>
  <si>
    <t xml:space="preserve">必须按优惠券张数拆分关联单据编号；不能把含逗号的单元格当作一个订单号</t>
  </si>
  <si>
    <t xml:space="preserve">SXD销售订单</t>
  </si>
  <si>
    <t xml:space="preserve">下游订单编号</t>
  </si>
  <si>
    <t xml:space="preserve">XD销售明细</t>
  </si>
  <si>
    <t xml:space="preserve">51/51个用券SXD对应51个不同XD，无重复映射</t>
  </si>
  <si>
    <t xml:space="preserve">关联字段完整不等于下游订单已实际生成或完成</t>
  </si>
  <si>
    <t xml:space="preserve">活动客户</t>
  </si>
  <si>
    <t xml:space="preserve">客户名称+活动期+可乐金额</t>
  </si>
  <si>
    <t xml:space="preserve">发券触发XD</t>
  </si>
  <si>
    <t xml:space="preserve">51/51均找到核销前可口可乐出库金额≥288元的订单</t>
  </si>
  <si>
    <t xml:space="preserve">无领取时间，只能选择最早达标订单作为触发候选</t>
  </si>
  <si>
    <t xml:space="preserve">SXD与XD的含义和关系验证</t>
  </si>
  <si>
    <t xml:space="preserve">对象</t>
  </si>
  <si>
    <t xml:space="preserve">数据中的含义</t>
  </si>
  <si>
    <t xml:space="preserve">实测结果</t>
  </si>
  <si>
    <t xml:space="preserve">判断</t>
  </si>
  <si>
    <t xml:space="preserve">SXD</t>
  </si>
  <si>
    <t xml:space="preserve">前端销售订单号。SXD销售订单表中的前端订单均使用该编号。</t>
  </si>
  <si>
    <t xml:space="preserve">全量6,169个SXD，本活动只有51个SXD出现在核销明细中。</t>
  </si>
  <si>
    <t xml:space="preserve">不是“优惠券专用订单号”</t>
  </si>
  <si>
    <t xml:space="preserve">XD</t>
  </si>
  <si>
    <t xml:space="preserve">SXD下发后形成的下游销售/履约单号，存在于XD销售明细的“单据”字段。</t>
  </si>
  <si>
    <t xml:space="preserve">SXD表通过“下游订单编号”保存XD号码。</t>
  </si>
  <si>
    <t xml:space="preserve">可视为下游履约订单编号</t>
  </si>
  <si>
    <t xml:space="preserve">全量关系</t>
  </si>
  <si>
    <t xml:space="preserve">SXD订单号 → 下游订单编号XD</t>
  </si>
  <si>
    <t xml:space="preserve">6,099/6,169个SXD有XD；70个没有。已映射部分均为一对一，未发现一对多或多对一。</t>
  </si>
  <si>
    <t xml:space="preserve">有映射时一对一，但不是每个SXD都有XD</t>
  </si>
  <si>
    <t xml:space="preserve">本活动关系</t>
  </si>
  <si>
    <t xml:space="preserve">优惠券关联SXD → SXD下游编号 → XD</t>
  </si>
  <si>
    <t xml:space="preserve">51个核销SXD全部有下游XD编号，且对应51个不同XD编号。</t>
  </si>
  <si>
    <t xml:space="preserve">编号映射51/51一对一；3个XD事实记录仍缺失</t>
  </si>
  <si>
    <t xml:space="preserve">完整销售明细、支付字段和订单状态</t>
  </si>
  <si>
    <t xml:space="preserve">核查维度</t>
  </si>
  <si>
    <t xml:space="preserve">数据结果</t>
  </si>
  <si>
    <t xml:space="preserve">覆盖范围</t>
  </si>
  <si>
    <t xml:space="preserve">可以得出的结论</t>
  </si>
  <si>
    <t xml:space="preserve">五份新增明细覆盖</t>
  </si>
  <si>
    <t xml:space="preserve">去除合计行并去重后40,472行、2,679个SXD；日期覆盖8月28日至9月10日</t>
  </si>
  <si>
    <t xml:space="preserve">用券订单51/51，共1,127条明细</t>
  </si>
  <si>
    <t xml:space="preserve">发现1条完全重复明细，位于非活动订单；去重不影响51笔用券订单核验</t>
  </si>
  <si>
    <t xml:space="preserve">‘支付时间’字段</t>
  </si>
  <si>
    <t xml:space="preserve">41笔货到付款、10笔在线支付；没有时间戳</t>
  </si>
  <si>
    <t xml:space="preserve">51/51</t>
  </si>
  <si>
    <t xml:space="preserve">字段实际表达支付方式，不能计算付款日期或支付时长</t>
  </si>
  <si>
    <t xml:space="preserve">在线支付与流水</t>
  </si>
  <si>
    <t xml:space="preserve">10/10笔在线支付有支付流水，且SXD已支付金额均等于SXD应支付金额</t>
  </si>
  <si>
    <t xml:space="preserve">10笔在线支付</t>
  </si>
  <si>
    <t xml:space="preserve">其中1笔已支付159.5元，但销售明细实际金额1,027.5元，相差868元，需核实其他抵扣或数据口径</t>
  </si>
  <si>
    <t xml:space="preserve">SXD订单状态</t>
  </si>
  <si>
    <t xml:space="preserve">已完成48笔、已下发3笔</t>
  </si>
  <si>
    <t xml:space="preserve">51/51</t>
  </si>
  <si>
    <t xml:space="preserve">3笔已下发中1笔在线支付、2笔货到付款；支付和订单状态必须分别判断</t>
  </si>
  <si>
    <t xml:space="preserve">订单类型与订单来源</t>
  </si>
  <si>
    <t xml:space="preserve">22列销售明细中没有订单类型、订单来源；仅有客户渠道</t>
  </si>
  <si>
    <t xml:space="preserve">客户渠道：44便利店/小型百货、3月结、2批发/团购、1食杂、1驿加易</t>
  </si>
  <si>
    <t xml:space="preserve">客户渠道不等于订单来源，不能用于判断App、业务员代下单或其他来源</t>
  </si>
  <si>
    <t xml:space="preserve">XD履约与结款</t>
  </si>
  <si>
    <t xml:space="preserve">43笔已完成、4笔待签收、1笔待出库、3笔未找到；30笔全部结款、17笔未结款、1笔部分结款</t>
  </si>
  <si>
    <t xml:space="preserve">51/51</t>
  </si>
  <si>
    <t xml:space="preserve">严格完成、已出库和全部结款会得到不同费用金额</t>
  </si>
  <si>
    <t xml:space="preserve">费用形成与确认口径</t>
  </si>
  <si>
    <t xml:space="preserve">活动明细按券拆分SXD → 五份销售明细核对支付方式和SXD状态 → 下游订单编号定位XD → 按XD完成、出库或结款规则确认费用</t>
  </si>
  <si>
    <t xml:space="preserve">费用观察口径</t>
  </si>
  <si>
    <t xml:space="preserve">订单/券数</t>
  </si>
  <si>
    <t xml:space="preserve">金额</t>
  </si>
  <si>
    <t xml:space="preserve">当前判断</t>
  </si>
  <si>
    <t xml:space="preserve">系统记录优惠券已使用</t>
  </si>
  <si>
    <t xml:space="preserve">名义费用；15元来自券名规则</t>
  </si>
  <si>
    <t xml:space="preserve">XD订单状态已完成</t>
  </si>
  <si>
    <t xml:space="preserve">严格完成口径候选费用</t>
  </si>
  <si>
    <t xml:space="preserve">XD待签收</t>
  </si>
  <si>
    <t xml:space="preserve">已经出库但未完成；若采用出库口径，可与43笔合计为47笔、705元</t>
  </si>
  <si>
    <t xml:space="preserve">XD待出库或未找到</t>
  </si>
  <si>
    <t xml:space="preserve">1笔待出库、3笔未找到，暂不确认</t>
  </si>
  <si>
    <t xml:space="preserve">XD全部结款</t>
  </si>
  <si>
    <t xml:space="preserve">结款口径候选费用</t>
  </si>
  <si>
    <t xml:space="preserve">关键边界</t>
  </si>
  <si>
    <t xml:space="preserve">活动明细有48条使用记录，其中3条‘已使用2张’且关联单据编号各含两个逗号分隔SXD。必须拆为6个订单，最终得到51张券、51个唯一SXD。</t>
  </si>
  <si>
    <t xml:space="preserve">51个SXD订单的订单级总优惠为15至72元：22笔恰好15元，29笔高于15元，总优惠1,201元。说明订单叠加了其他优惠，不能用订单总优惠替代本券成本。</t>
  </si>
  <si>
    <t xml:space="preserve">‘支付时间’字段实际为支付方式。10笔在线支付有流水，但1笔支付金额与销售明细实际金额相差868元；41笔货到付款没有支付流水，不能确认收款。</t>
  </si>
  <si>
    <t xml:space="preserve">SXD显示48笔已完成，XD却只有43笔已完成，另有4笔待签收、1笔待出库、3笔未找到；订单类型和订单来源也缺失。费用平台必须先定义权威状态层级和发放触发点。</t>
  </si>
  <si>
    <t xml:space="preserve">来源与验证范围</t>
  </si>
  <si>
    <t xml:space="preserve">活动与映射依据：《舟谱-羿柏-活动明细-20260826-20260908.xls》《舟谱-羿柏-销售订单明细-20260812-20260910-SXD.xlsx》《舟谱-羿柏-销售订单明细-20260826-20260908.xlsx》。</t>
  </si>
  <si>
    <t xml:space="preserve">完整销售明细依据：《销售订单明细表导出 0828-0830.xlsx》《销售订单明细表导出 0831-0902.xlsx》《销售订单明细表导出 0903-0905.xlsx》《销售订单明细表导出 0906-0908.xlsx》《销售订单明细表导出 0909-0910.xlsx》。</t>
  </si>
  <si>
    <t xml:space="preserve">处理规则：删除5个合计行并去除1条完全重复明细；把3条多券活动记录中的逗号分隔编号拆成6个SXD。最终51/51个用券SXD均命中完整销售明细。版本：2026-09-15。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</si>
</sst>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#,##0&quot; 张&quot;"/>
    <numFmt numFmtId="165" formatCode="#,##0&quot; 元&quot;"/>
  </numFmts>
  <fonts count="21">
    <font>
      <sz val="11"/>
      <color theme="1"/>
      <name val="Calibri"/>
      <family val="2"/>
      <scheme val="minor"/>
    </font>
    <font>
      <sz val="10"/>
      <color rgb="FF1F2937"/>
      <name val="Arial"/>
      <family val="2"/>
    </font>
    <font>
      <sz val="11"/>
      <color rgb="FF000000"/>
      <name val="Carlito"/>
      <family val="2"/>
    </font>
    <font>
      <b val="true"/>
      <sz val="16"/>
      <color rgb="FF1F2937"/>
      <name val="Arial"/>
      <family val="2"/>
    </font>
    <font>
      <i val="true"/>
      <sz val="10"/>
      <color rgb="FF5B6573"/>
      <name val="Arial"/>
      <family val="2"/>
    </font>
    <font>
      <b val="true"/>
      <sz val="11"/>
      <color rgb="FF1F4E78"/>
      <name val="Arial"/>
      <family val="2"/>
    </font>
    <font>
      <b val="true"/>
      <sz val="10"/>
      <color rgb="FFFFFFFF"/>
      <name val="Arial"/>
      <family val="2"/>
    </font>
    <font>
      <b val="true"/>
      <sz val="16"/>
      <color rgb="FF1F4E78"/>
      <name val="Arial"/>
      <family val="2"/>
    </font>
    <font>
      <b val="true"/>
      <sz val="16"/>
      <color rgb="FF2F6B2F"/>
      <name val="Arial"/>
      <family val="2"/>
    </font>
    <font>
      <i val="true"/>
      <sz val="9"/>
      <color rgb="FF5B6573"/>
      <name val="Arial"/>
      <family val="2"/>
    </font>
    <font>
      <b val="true"/>
      <sz val="11"/>
      <color rgb="FFFFFFFF"/>
      <name val="Arial"/>
      <family val="2"/>
    </font>
    <font>
      <b val="true"/>
      <sz val="10"/>
      <color rgb="FF1F2937"/>
      <name val="Arial"/>
      <family val="2"/>
    </font>
    <font>
      <b val="true"/>
      <sz val="10"/>
      <color rgb="FF1F4E78"/>
      <name val="Arial"/>
      <family val="2"/>
    </font>
    <font>
      <b val="true"/>
      <sz val="10"/>
      <color rgb="FF8A5A00"/>
      <name val="Arial"/>
      <family val="2"/>
    </font>
    <font>
      <sz val="9"/>
      <color rgb="FF8A5A00"/>
      <name val="Arial"/>
      <family val="2"/>
    </font>
    <font>
      <b val="true"/>
      <sz val="10"/>
      <color rgb="FF2F6B2F"/>
      <name val="Arial"/>
      <family val="2"/>
    </font>
    <font>
      <sz val="10"/>
      <color rgb="FF5B6573"/>
      <name val="Arial"/>
      <family val="2"/>
    </font>
    <font>
      <sz val="10"/>
      <color rgb="FF8A5A00"/>
      <name val="Arial"/>
      <family val="2"/>
    </font>
    <font>
      <b val="true"/>
      <sz val="10"/>
      <color rgb="FFA61B1B"/>
      <name val="Arial"/>
      <family val="2"/>
    </font>
    <font>
      <sz val="9"/>
      <color rgb="FF5B6573"/>
      <name val="Arial"/>
      <family val="2"/>
    </font>
    <font>
      <b val="true"/>
      <sz val="9"/>
      <color rgb="FF8A5A00"/>
      <name val="Arial"/>
      <family val="2"/>
    </font>
  </fonts>
  <fills count="14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EFF6FB"/>
        <bgColor/>
      </patternFill>
    </fill>
    <fill>
      <patternFill patternType="solid">
        <fgColor rgb="FF1F4E78"/>
        <bgColor/>
      </patternFill>
    </fill>
    <fill>
      <patternFill patternType="solid">
        <fgColor rgb="FF3C7D3C"/>
        <bgColor/>
      </patternFill>
    </fill>
    <fill>
      <patternFill patternType="solid">
        <fgColor rgb="FFE2F0D9"/>
        <bgColor/>
      </patternFill>
    </fill>
    <fill>
      <patternFill patternType="solid">
        <fgColor rgb="FFD9EAF7"/>
        <bgColor/>
      </patternFill>
    </fill>
    <fill>
      <patternFill patternType="solid">
        <fgColor rgb="FFFFF2CC"/>
        <bgColor/>
      </patternFill>
    </fill>
    <fill>
      <patternFill patternType="solid">
        <fgColor rgb="FFF3F5F7"/>
        <bgColor/>
      </patternFill>
    </fill>
    <fill>
      <patternFill patternType="solid">
        <fgColor rgb="FFF3F5F7"/>
        <bgColor/>
      </patternFill>
    </fill>
    <fill>
      <patternFill patternType="solid">
        <fgColor rgb="FFFFF2CC"/>
        <bgColor/>
      </patternFill>
    </fill>
    <fill>
      <patternFill patternType="solid">
        <fgColor rgb="FFEFF6FB"/>
        <bgColor/>
      </patternFill>
    </fill>
    <fill>
      <patternFill patternType="solid">
        <fgColor rgb="FFE2F0D9"/>
        <bgColor/>
      </patternFill>
    </fill>
    <fill>
      <patternFill patternType="solid">
        <fgColor rgb="FFFCE8E6"/>
        <bgColor/>
      </patternFill>
    </fill>
  </fills>
  <borders count="14">
    <border>
      <left/>
      <right/>
      <top/>
      <bottom/>
      <diagonal/>
    </border>
    <border>
      <left/>
      <right/>
      <top/>
      <bottom style="medium">
        <color rgb="FF1F4E78"/>
      </bottom>
      <diagonal/>
    </border>
    <border>
      <left style="medium">
        <color rgb="FF1F4E78"/>
      </left>
      <right style="medium">
        <color rgb="FF1F4E78"/>
      </right>
      <top style="medium">
        <color rgb="FF1F4E78"/>
      </top>
      <bottom style="medium">
        <color rgb="FF1F4E78"/>
      </bottom>
      <diagonal/>
    </border>
    <border>
      <left style="thin">
        <color rgb="FF1F4E78"/>
      </left>
      <right style="thin">
        <color rgb="FF1F4E78"/>
      </right>
      <top style="thin">
        <color rgb="FF1F4E78"/>
      </top>
      <bottom style="thin">
        <color rgb="FF1F4E78"/>
      </bottom>
      <diagonal/>
    </border>
    <border>
      <left style="thin">
        <color rgb="FF3C7D3C"/>
      </left>
      <right style="thin">
        <color rgb="FF3C7D3C"/>
      </right>
      <top style="thin">
        <color rgb="FF3C7D3C"/>
      </top>
      <bottom style="thin">
        <color rgb="FF3C7D3C"/>
      </bottom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thin">
        <color rgb="FFCBD5E1"/>
      </left>
      <right/>
      <top style="thin">
        <color rgb="FFCBD5E1"/>
      </top>
      <bottom style="thin">
        <color rgb="FFCBD5E1"/>
      </bottom>
      <diagonal/>
    </border>
    <border>
      <left/>
      <right/>
      <top style="thin">
        <color rgb="FFCBD5E1"/>
      </top>
      <bottom style="thin">
        <color rgb="FFCBD5E1"/>
      </bottom>
      <diagonal/>
    </border>
    <border>
      <left/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thin">
        <color rgb="FFCBD5E1"/>
      </left>
      <right/>
      <top/>
      <bottom style="thin">
        <color rgb="FFCBD5E1"/>
      </bottom>
      <diagonal/>
    </border>
    <border>
      <left/>
      <right/>
      <top/>
      <bottom style="thin">
        <color rgb="FFCBD5E1"/>
      </bottom>
      <diagonal/>
    </border>
    <border>
      <left style="thin">
        <color rgb="FFE4C760"/>
      </left>
      <right style="thin">
        <color rgb="FFE4C760"/>
      </right>
      <top style="thin">
        <color rgb="FFE4C760"/>
      </top>
      <bottom style="thin">
        <color rgb="FFE4C760"/>
      </bottom>
      <diagonal/>
    </border>
    <border>
      <left/>
      <right style="thin">
        <color rgb="FFCBD5E1"/>
      </right>
      <top/>
      <bottom style="thin">
        <color rgb="FFCBD5E1"/>
      </bottom>
      <diagonal/>
    </border>
    <border>
      <left style="thin">
        <color rgb="FFA8C69F"/>
      </left>
      <right style="thin">
        <color rgb="FFA8C69F"/>
      </right>
      <top style="thin">
        <color rgb="FFA8C69F"/>
      </top>
      <bottom style="thin">
        <color rgb="FFA8C69F"/>
      </bottom>
      <diagonal/>
    </border>
  </borders>
  <cellStyleXfs count="2">
    <xf applyAlignment="true" applyBorder="false" applyFill="false" applyFont="false" applyNumberFormat="false" applyProtection="false" borderId="0" fillId="0" fontId="0" numFmtId="0"/>
    <xf applyAlignment="true" applyBorder="true" applyFill="true" applyFont="true" applyNumberFormat="true" applyProtection="true" borderId="0" fillId="0" fontId="2" numFmtId="0">
      <alignment vertical="bottom"/>
    </xf>
  </cellStyleXfs>
  <cellXfs count="63">
    <xf applyAlignment="false" applyBorder="false" applyFill="false" applyFont="false" applyNumberFormat="false" applyProtection="false" borderId="0" fillId="0" fontId="0" numFmtId="0" xfId="0">
      <alignment vertical="center"/>
    </xf>
    <xf applyAlignment="false" applyBorder="false" applyFill="false" applyFont="false" applyNumberFormat="false" applyProtection="false" borderId="0" fillId="0" fontId="1" numFmtId="0" xfId="1">
      <alignment vertical="center"/>
    </xf>
    <xf applyAlignment="false" applyBorder="false" applyFill="false" applyFont="false" applyNumberFormat="false" applyProtection="false" borderId="0" fillId="0" fontId="3" numFmtId="0" xfId="1">
      <alignment vertical="center"/>
    </xf>
    <xf applyAlignment="false" applyBorder="false" applyFill="false" applyFont="false" applyNumberFormat="false" applyProtection="false" borderId="1" fillId="0" fontId="1" numFmtId="0" xfId="1">
      <alignment vertical="center"/>
    </xf>
    <xf applyAlignment="false" applyBorder="false" applyFill="false" applyFont="false" applyNumberFormat="false" applyProtection="false" borderId="0" fillId="0" fontId="4" numFmtId="0" xfId="1">
      <alignment vertical="center"/>
    </xf>
    <xf applyAlignment="false" applyBorder="false" applyFill="false" applyFont="false" applyNumberFormat="false" applyProtection="false" borderId="2" fillId="2" fontId="5" numFmtId="0" xfId="1">
      <alignment vertical="center" wrapText="true"/>
    </xf>
    <xf applyAlignment="false" applyBorder="false" applyFill="false" applyFont="false" applyNumberFormat="false" applyProtection="false" borderId="3" fillId="3" fontId="6" numFmtId="0" xfId="1">
      <alignment horizontal="center" vertical="center"/>
    </xf>
    <xf applyAlignment="false" applyBorder="false" applyFill="false" applyFont="false" applyNumberFormat="false" applyProtection="false" borderId="4" fillId="4" fontId="6" numFmtId="0" xfId="1">
      <alignment horizontal="center" vertical="center"/>
    </xf>
    <xf applyAlignment="false" applyBorder="false" applyFill="false" applyFont="false" applyNumberFormat="false" applyProtection="false" borderId="5" fillId="0" fontId="7" numFmtId="164" xfId="1">
      <alignment horizontal="center" vertical="center"/>
    </xf>
    <xf applyAlignment="false" applyBorder="false" applyFill="false" applyFont="false" applyNumberFormat="false" applyProtection="false" borderId="5" fillId="5" fontId="8" numFmtId="164" xfId="1">
      <alignment horizontal="center" vertical="center"/>
    </xf>
    <xf applyAlignment="false" applyBorder="false" applyFill="false" applyFont="false" applyNumberFormat="false" applyProtection="false" borderId="5" fillId="5" fontId="8" numFmtId="165" xfId="1">
      <alignment horizontal="center" vertical="center"/>
    </xf>
    <xf applyAlignment="false" applyBorder="false" applyFill="false" applyFont="false" applyNumberFormat="false" applyProtection="false" borderId="0" fillId="0" fontId="9" numFmtId="0" xfId="1">
      <alignment vertical="center" wrapText="true"/>
    </xf>
    <xf applyAlignment="false" applyBorder="false" applyFill="false" applyFont="false" applyNumberFormat="false" applyProtection="false" borderId="0" fillId="3" fontId="10" numFmtId="0" xfId="1">
      <alignment vertical="center"/>
    </xf>
    <xf applyAlignment="false" applyBorder="false" applyFill="false" applyFont="false" applyNumberFormat="false" applyProtection="false" borderId="6" fillId="6" fontId="11" numFmtId="0" xfId="1">
      <alignment horizontal="center" vertical="center"/>
    </xf>
    <xf applyAlignment="false" applyBorder="false" applyFill="false" applyFont="false" applyNumberFormat="false" applyProtection="false" borderId="7" fillId="6" fontId="11" numFmtId="0" xfId="1">
      <alignment horizontal="center" vertical="center"/>
    </xf>
    <xf applyAlignment="false" applyBorder="false" applyFill="false" applyFont="false" applyNumberFormat="false" applyProtection="false" borderId="8" fillId="6" fontId="11" numFmtId="0" xfId="1">
      <alignment horizontal="center" vertical="center"/>
    </xf>
    <xf applyAlignment="false" applyBorder="false" applyFill="false" applyFont="false" applyNumberFormat="false" applyProtection="false" borderId="9" fillId="0" fontId="12" numFmtId="0" xfId="1">
      <alignment vertical="top" wrapText="true"/>
    </xf>
    <xf applyAlignment="false" applyBorder="false" applyFill="false" applyFont="false" applyNumberFormat="false" applyProtection="false" borderId="10" fillId="0" fontId="1" numFmtId="0" xfId="1">
      <alignment vertical="top" wrapText="true"/>
    </xf>
    <xf applyAlignment="false" applyBorder="false" applyFill="false" applyFont="false" applyNumberFormat="false" applyProtection="false" borderId="11" fillId="7" fontId="13" numFmtId="0" xfId="1">
      <alignment vertical="top" wrapText="true"/>
    </xf>
    <xf applyAlignment="false" applyBorder="false" applyFill="false" applyFont="false" applyNumberFormat="false" applyProtection="false" borderId="11" fillId="7" fontId="14" numFmtId="0" xfId="1">
      <alignment vertical="top" wrapText="true"/>
    </xf>
    <xf applyAlignment="false" applyBorder="false" applyFill="false" applyFont="false" applyNumberFormat="false" applyProtection="false" borderId="12" fillId="0" fontId="1" numFmtId="0" xfId="1">
      <alignment vertical="top" wrapText="true"/>
    </xf>
    <xf applyAlignment="false" applyBorder="false" applyFill="false" applyFont="false" applyNumberFormat="false" applyProtection="false" borderId="9" fillId="8" fontId="12" numFmtId="0" xfId="1">
      <alignment vertical="top" wrapText="true"/>
    </xf>
    <xf applyAlignment="false" applyBorder="false" applyFill="false" applyFont="false" applyNumberFormat="false" applyProtection="false" borderId="10" fillId="8" fontId="1" numFmtId="0" xfId="1">
      <alignment vertical="top" wrapText="true"/>
    </xf>
    <xf applyAlignment="false" applyBorder="false" applyFill="false" applyFont="false" applyNumberFormat="false" applyProtection="false" borderId="13" fillId="5" fontId="15" numFmtId="0" xfId="1">
      <alignment vertical="top" wrapText="true"/>
    </xf>
    <xf applyAlignment="false" applyBorder="false" applyFill="false" applyFont="false" applyNumberFormat="false" applyProtection="false" borderId="12" fillId="8" fontId="1" numFmtId="0" xfId="1">
      <alignment vertical="top" wrapText="true"/>
    </xf>
    <xf applyAlignment="false" applyBorder="false" applyFill="false" applyFont="false" applyNumberFormat="false" applyProtection="false" borderId="10" fillId="0" fontId="1" numFmtId="0" xfId="1">
      <alignment vertical="center" wrapText="true"/>
    </xf>
    <xf applyAlignment="false" applyBorder="false" applyFill="false" applyFont="false" applyNumberFormat="false" applyProtection="false" borderId="10" fillId="8" fontId="1" numFmtId="0" xfId="1">
      <alignment vertical="center" wrapText="true"/>
    </xf>
    <xf applyAlignment="false" applyBorder="false" applyFill="false" applyFont="false" applyNumberFormat="false" applyProtection="false" borderId="10" fillId="0" fontId="12" numFmtId="0" xfId="1">
      <alignment vertical="center" wrapText="true"/>
    </xf>
    <xf applyAlignment="false" applyBorder="false" applyFill="false" applyFont="false" applyNumberFormat="false" applyProtection="false" borderId="10" fillId="0" fontId="11" numFmtId="0" xfId="1">
      <alignment vertical="center" wrapText="true"/>
    </xf>
    <xf applyAlignment="false" applyBorder="false" applyFill="false" applyFont="false" applyNumberFormat="false" applyProtection="false" borderId="10" fillId="8" fontId="12" numFmtId="0" xfId="1">
      <alignment vertical="center" wrapText="true"/>
    </xf>
    <xf applyAlignment="false" applyBorder="false" applyFill="false" applyFont="false" applyNumberFormat="false" applyProtection="false" borderId="10" fillId="8" fontId="11" numFmtId="0" xfId="1">
      <alignment vertical="center" wrapText="true"/>
    </xf>
    <xf applyAlignment="false" applyBorder="false" applyFill="false" applyFont="false" applyNumberFormat="false" applyProtection="false" borderId="10" fillId="8" fontId="15" numFmtId="0" xfId="1">
      <alignment vertical="center" wrapText="true"/>
    </xf>
    <xf applyAlignment="false" applyBorder="false" applyFill="false" applyFont="false" applyNumberFormat="false" applyProtection="false" borderId="10" fillId="0" fontId="1" numFmtId="0" xfId="1">
      <alignment vertical="center" wrapText="true"/>
    </xf>
    <xf applyAlignment="false" applyBorder="false" applyFill="false" applyFont="false" applyNumberFormat="false" applyProtection="false" borderId="10" fillId="0" fontId="13" numFmtId="0" xfId="1">
      <alignment vertical="center" wrapText="true"/>
    </xf>
    <xf applyAlignment="false" applyBorder="false" applyFill="false" applyFont="false" applyNumberFormat="false" applyProtection="false" borderId="10" fillId="9" fontId="1" numFmtId="0" xfId="1">
      <alignment vertical="center" wrapText="true"/>
    </xf>
    <xf applyAlignment="false" applyBorder="false" applyFill="false" applyFont="false" applyNumberFormat="false" applyProtection="false" borderId="10" fillId="9" fontId="13" numFmtId="0" xfId="1">
      <alignment vertical="center" wrapText="true"/>
    </xf>
    <xf applyAlignment="false" applyBorder="false" applyFill="false" applyFont="false" applyNumberFormat="false" applyProtection="false" borderId="10" fillId="10" fontId="1" numFmtId="0" xfId="1">
      <alignment vertical="center" wrapText="true"/>
    </xf>
    <xf applyAlignment="false" applyBorder="false" applyFill="false" applyFont="false" applyNumberFormat="false" applyProtection="false" borderId="10" fillId="10" fontId="13" numFmtId="0" xfId="1">
      <alignment vertical="center" wrapText="true"/>
    </xf>
    <xf applyAlignment="false" applyBorder="false" applyFill="false" applyFont="false" applyNumberFormat="false" applyProtection="false" borderId="5" fillId="2" fontId="12" numFmtId="0" xfId="1">
      <alignment horizontal="center" vertical="center" wrapText="true"/>
    </xf>
    <xf applyAlignment="false" applyBorder="false" applyFill="false" applyFont="false" applyNumberFormat="false" applyProtection="false" borderId="0" fillId="0" fontId="1" numFmtId="0" xfId="1">
      <alignment horizontal="center" vertical="center"/>
    </xf>
    <xf applyAlignment="false" applyBorder="false" applyFill="false" applyFont="false" applyNumberFormat="false" applyProtection="false" borderId="10" fillId="11" fontId="16" numFmtId="0" xfId="1">
      <alignment vertical="center" wrapText="true"/>
    </xf>
    <xf applyAlignment="false" applyBorder="false" applyFill="false" applyFont="false" applyNumberFormat="false" applyProtection="false" borderId="10" fillId="11" fontId="16" numFmtId="164" xfId="1">
      <alignment horizontal="center" vertical="center" wrapText="true"/>
    </xf>
    <xf applyAlignment="false" applyBorder="false" applyFill="false" applyFont="false" applyNumberFormat="false" applyProtection="false" borderId="10" fillId="11" fontId="16" numFmtId="0" xfId="1">
      <alignment horizontal="center" vertical="center" wrapText="true"/>
    </xf>
    <xf applyAlignment="false" applyBorder="false" applyFill="false" applyFont="false" applyNumberFormat="false" applyProtection="false" borderId="10" fillId="11" fontId="16" numFmtId="165" xfId="1">
      <alignment horizontal="center" vertical="center" wrapText="true"/>
    </xf>
    <xf applyAlignment="false" applyBorder="false" applyFill="false" applyFont="false" applyNumberFormat="false" applyProtection="false" borderId="10" fillId="12" fontId="15" numFmtId="0" xfId="1">
      <alignment vertical="center" wrapText="true"/>
    </xf>
    <xf applyAlignment="false" applyBorder="false" applyFill="false" applyFont="false" applyNumberFormat="false" applyProtection="false" borderId="10" fillId="12" fontId="15" numFmtId="164" xfId="1">
      <alignment horizontal="center" vertical="center" wrapText="true"/>
    </xf>
    <xf applyAlignment="false" applyBorder="false" applyFill="false" applyFont="false" applyNumberFormat="false" applyProtection="false" borderId="10" fillId="12" fontId="15" numFmtId="0" xfId="1">
      <alignment horizontal="center" vertical="center" wrapText="true"/>
    </xf>
    <xf applyAlignment="false" applyBorder="false" applyFill="false" applyFont="false" applyNumberFormat="false" applyProtection="false" borderId="10" fillId="12" fontId="15" numFmtId="165" xfId="1">
      <alignment horizontal="center" vertical="center" wrapText="true"/>
    </xf>
    <xf applyAlignment="false" applyBorder="false" applyFill="false" applyFont="false" applyNumberFormat="false" applyProtection="false" borderId="10" fillId="10" fontId="17" numFmtId="0" xfId="1">
      <alignment vertical="center" wrapText="true"/>
    </xf>
    <xf applyAlignment="false" applyBorder="false" applyFill="false" applyFont="false" applyNumberFormat="false" applyProtection="false" borderId="10" fillId="10" fontId="17" numFmtId="164" xfId="1">
      <alignment horizontal="center" vertical="center" wrapText="true"/>
    </xf>
    <xf applyAlignment="false" applyBorder="false" applyFill="false" applyFont="false" applyNumberFormat="false" applyProtection="false" borderId="10" fillId="10" fontId="17" numFmtId="0" xfId="1">
      <alignment horizontal="center" vertical="center" wrapText="true"/>
    </xf>
    <xf applyAlignment="false" applyBorder="false" applyFill="false" applyFont="false" applyNumberFormat="false" applyProtection="false" borderId="10" fillId="10" fontId="17" numFmtId="165" xfId="1">
      <alignment horizontal="center" vertical="center" wrapText="true"/>
    </xf>
    <xf applyAlignment="false" applyBorder="false" applyFill="false" applyFont="false" applyNumberFormat="false" applyProtection="false" borderId="10" fillId="13" fontId="18" numFmtId="0" xfId="1">
      <alignment vertical="center" wrapText="true"/>
    </xf>
    <xf applyAlignment="false" applyBorder="false" applyFill="false" applyFont="false" applyNumberFormat="false" applyProtection="false" borderId="10" fillId="13" fontId="18" numFmtId="164" xfId="1">
      <alignment horizontal="center" vertical="center" wrapText="true"/>
    </xf>
    <xf applyAlignment="false" applyBorder="false" applyFill="false" applyFont="false" applyNumberFormat="false" applyProtection="false" borderId="10" fillId="13" fontId="18" numFmtId="0" xfId="1">
      <alignment horizontal="center" vertical="center" wrapText="true"/>
    </xf>
    <xf applyAlignment="false" applyBorder="false" applyFill="false" applyFont="false" applyNumberFormat="false" applyProtection="false" borderId="10" fillId="13" fontId="18" numFmtId="165" xfId="1">
      <alignment horizontal="center" vertical="center" wrapText="true"/>
    </xf>
    <xf applyAlignment="false" applyBorder="false" applyFill="false" applyFont="false" applyNumberFormat="false" applyProtection="false" borderId="10" fillId="9" fontId="16" numFmtId="0" xfId="1">
      <alignment vertical="center" wrapText="true"/>
    </xf>
    <xf applyAlignment="false" applyBorder="false" applyFill="false" applyFont="false" applyNumberFormat="false" applyProtection="false" borderId="10" fillId="9" fontId="16" numFmtId="164" xfId="1">
      <alignment horizontal="center" vertical="center" wrapText="true"/>
    </xf>
    <xf applyAlignment="false" applyBorder="false" applyFill="false" applyFont="false" applyNumberFormat="false" applyProtection="false" borderId="10" fillId="9" fontId="16" numFmtId="0" xfId="1">
      <alignment horizontal="center" vertical="center" wrapText="true"/>
    </xf>
    <xf applyAlignment="false" applyBorder="false" applyFill="false" applyFont="false" applyNumberFormat="false" applyProtection="false" borderId="10" fillId="9" fontId="16" numFmtId="165" xfId="1">
      <alignment horizontal="center" vertical="center" wrapText="true"/>
    </xf>
    <xf applyAlignment="false" applyBorder="false" applyFill="false" applyFont="false" applyNumberFormat="false" applyProtection="false" borderId="0" fillId="8" fontId="11" numFmtId="0" xfId="1">
      <alignment vertical="center"/>
    </xf>
    <xf applyAlignment="false" applyBorder="false" applyFill="false" applyFont="false" applyNumberFormat="false" applyProtection="false" borderId="0" fillId="0" fontId="19" numFmtId="0" xfId="1">
      <alignment vertical="center" wrapText="true"/>
    </xf>
    <xf applyAlignment="false" applyBorder="false" applyFill="false" applyFont="false" applyNumberFormat="false" applyProtection="false" borderId="0" fillId="10" fontId="20" numFmtId="0" xfId="1">
      <alignment vertical="center" wrapText="true"/>
    </xf>
  </cellXfs>
  <cellStyles count="2">
    <cellStyle builtinId="0" name="Normal" xfId="0"/>
    <cellStyle name="Normal" xfId="1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tabColor rgb="FF1F4E78"/>
    <outlinePr summaryBelow="false" summaryRight="false"/>
  </sheetPr>
  <dimension ref="A1"/>
  <sheetViews>
    <sheetView showGridLines="false" tabSelected="true" workbookViewId="0"/>
  </sheetViews>
  <sheetFormatPr defaultRowHeight="15"/>
  <cols>
    <col collapsed="false" customWidth="true" hidden="false" max="2" min="2" style="0" width="10"/>
    <col collapsed="false" customWidth="true" hidden="false" max="6" min="6" style="0" width="13"/>
    <col collapsed="false" customWidth="true" hidden="false" max="10" min="10" style="0" width="14"/>
    <col collapsed="false" customWidth="true" hidden="false" max="14" min="14" style="0" width="14"/>
    <col collapsed="false" customWidth="true" hidden="false" max="1" min="1" style="0" width="10"/>
    <col collapsed="false" customWidth="true" hidden="false" max="5" min="5" style="0" width="14"/>
    <col collapsed="false" customWidth="true" hidden="false" max="9" min="9" style="0" width="14"/>
    <col collapsed="false" customWidth="true" hidden="false" max="13" min="13" style="0" width="14"/>
    <col collapsed="false" customWidth="true" hidden="false" max="4" min="4" style="0" width="14"/>
    <col collapsed="false" customWidth="true" hidden="false" max="8" min="8" style="0" width="13"/>
    <col collapsed="false" customWidth="true" hidden="false" max="12" min="12" style="0" width="14"/>
    <col collapsed="false" customWidth="true" hidden="false" max="16" min="16" style="0" width="14"/>
    <col collapsed="false" customWidth="true" hidden="false" max="3" min="3" style="0" width="14"/>
    <col collapsed="false" customWidth="true" hidden="false" max="7" min="7" style="0" width="13"/>
    <col collapsed="false" customWidth="true" hidden="false" max="11" min="11" style="0" width="14"/>
    <col collapsed="false" customWidth="true" hidden="false" max="15" min="15" style="0" width="14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>
      <c r="A2" s="2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>
      <c r="A4" s="4" t="s">
        <v>2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</row>
    <row customHeight="true" ht="72" r="6">
      <c r="A6" s="5" t="s">
        <v>3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</row>
    <row r="7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</row>
    <row customHeight="true" ht="23" r="8">
      <c r="A8" s="6" t="s">
        <v>4</v>
      </c>
      <c r="B8" s="1"/>
      <c r="C8" s="1"/>
      <c r="D8" s="1"/>
      <c r="E8" s="6" t="s">
        <v>5</v>
      </c>
      <c r="F8" s="1"/>
      <c r="G8" s="1"/>
      <c r="H8" s="1"/>
      <c r="I8" s="7" t="s">
        <v>6</v>
      </c>
      <c r="J8" s="1"/>
      <c r="K8" s="1"/>
      <c r="L8" s="1"/>
      <c r="M8" s="7" t="s">
        <v>7</v>
      </c>
      <c r="N8" s="1"/>
      <c r="O8" s="1"/>
      <c r="P8" s="1"/>
    </row>
    <row customHeight="true" ht="23" r="9">
      <c r="A9" s="8">
        <v>114</v>
      </c>
      <c r="B9" s="1"/>
      <c r="C9" s="1"/>
      <c r="D9" s="1"/>
      <c r="E9" s="8">
        <v>51</v>
      </c>
      <c r="F9" s="1"/>
      <c r="G9" s="1"/>
      <c r="H9" s="1"/>
      <c r="I9" s="9">
        <v>43</v>
      </c>
      <c r="J9" s="1"/>
      <c r="K9" s="1"/>
      <c r="L9" s="1"/>
      <c r="M9" s="10">
        <f>I9*15</f>
      </c>
      <c r="N9" s="1"/>
      <c r="O9" s="1"/>
      <c r="P9" s="1"/>
    </row>
    <row customHeight="true" ht="23" r="10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</row>
    <row customHeight="true" ht="23" r="1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</row>
    <row customHeight="true" ht="34" r="12">
      <c r="A12" s="11">
        <f>"102家终端领取，48条活动记录有使用；其中3条各含2个SXD，拆分后为51张券、51个订单。若以已出库（含待签收）为口径，47×15=705元；若要求XD全部结款，30×15=450元。"</f>
      </c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</row>
    <row r="1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</row>
    <row r="14">
      <c r="A14" s="12" t="s">
        <v>8</v>
      </c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</row>
    <row r="15">
      <c r="A15" s="13" t="s">
        <v>9</v>
      </c>
      <c r="B15" s="14"/>
      <c r="C15" s="14" t="s">
        <v>10</v>
      </c>
      <c r="D15" s="14"/>
      <c r="E15" s="14"/>
      <c r="F15" s="14" t="s">
        <v>11</v>
      </c>
      <c r="G15" s="14"/>
      <c r="H15" s="14"/>
      <c r="I15" s="14" t="s">
        <v>12</v>
      </c>
      <c r="J15" s="14"/>
      <c r="K15" s="14"/>
      <c r="L15" s="14"/>
      <c r="M15" s="14"/>
      <c r="N15" s="14" t="s">
        <v>13</v>
      </c>
      <c r="O15" s="14"/>
      <c r="P15" s="15"/>
    </row>
    <row customHeight="true" ht="88" r="16">
      <c r="A16" s="16" t="s">
        <v>14</v>
      </c>
      <c r="B16" s="17"/>
      <c r="C16" s="17" t="s">
        <v>15</v>
      </c>
      <c r="D16" s="17"/>
      <c r="E16" s="17"/>
      <c r="F16" s="18" t="s">
        <v>16</v>
      </c>
      <c r="G16" s="17"/>
      <c r="H16" s="17"/>
      <c r="I16" s="17" t="s">
        <v>17</v>
      </c>
      <c r="J16" s="17"/>
      <c r="K16" s="17"/>
      <c r="L16" s="17"/>
      <c r="M16" s="17"/>
      <c r="N16" s="19" t="s">
        <v>18</v>
      </c>
      <c r="O16" s="17"/>
      <c r="P16" s="20"/>
    </row>
    <row customHeight="true" ht="88" r="17">
      <c r="A17" s="21" t="s">
        <v>19</v>
      </c>
      <c r="B17" s="22"/>
      <c r="C17" s="22" t="s">
        <v>20</v>
      </c>
      <c r="D17" s="22"/>
      <c r="E17" s="22"/>
      <c r="F17" s="23" t="s">
        <v>21</v>
      </c>
      <c r="G17" s="22"/>
      <c r="H17" s="22"/>
      <c r="I17" s="22" t="s">
        <v>22</v>
      </c>
      <c r="J17" s="22"/>
      <c r="K17" s="22"/>
      <c r="L17" s="22"/>
      <c r="M17" s="22"/>
      <c r="N17" s="19" t="s">
        <v>23</v>
      </c>
      <c r="O17" s="22"/>
      <c r="P17" s="24"/>
    </row>
    <row customHeight="true" ht="96" r="18">
      <c r="A18" s="16" t="s">
        <v>24</v>
      </c>
      <c r="B18" s="17"/>
      <c r="C18" s="17" t="s">
        <v>25</v>
      </c>
      <c r="D18" s="17"/>
      <c r="E18" s="17"/>
      <c r="F18" s="18" t="s">
        <v>26</v>
      </c>
      <c r="G18" s="17"/>
      <c r="H18" s="17"/>
      <c r="I18" s="17" t="s">
        <v>27</v>
      </c>
      <c r="J18" s="17"/>
      <c r="K18" s="17"/>
      <c r="L18" s="17"/>
      <c r="M18" s="17"/>
      <c r="N18" s="19" t="s">
        <v>28</v>
      </c>
      <c r="O18" s="17"/>
      <c r="P18" s="20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</row>
    <row r="21">
      <c r="A21" s="12" t="s">
        <v>29</v>
      </c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</row>
    <row r="22">
      <c r="A22" s="13" t="s">
        <v>30</v>
      </c>
      <c r="B22" s="14"/>
      <c r="C22" s="14"/>
      <c r="D22" s="14" t="s">
        <v>31</v>
      </c>
      <c r="E22" s="14"/>
      <c r="F22" s="14"/>
      <c r="G22" s="14" t="s">
        <v>32</v>
      </c>
      <c r="H22" s="14"/>
      <c r="I22" s="14"/>
      <c r="J22" s="14" t="s">
        <v>33</v>
      </c>
      <c r="K22" s="14"/>
      <c r="L22" s="14"/>
      <c r="M22" s="14"/>
      <c r="N22" s="14" t="s">
        <v>34</v>
      </c>
      <c r="O22" s="14"/>
      <c r="P22" s="15"/>
    </row>
    <row customHeight="true" ht="42" r="23">
      <c r="A23" s="25" t="s">
        <v>35</v>
      </c>
      <c r="B23" s="25"/>
      <c r="C23" s="25"/>
      <c r="D23" s="25" t="s">
        <v>36</v>
      </c>
      <c r="E23" s="25"/>
      <c r="F23" s="25"/>
      <c r="G23" s="25" t="s">
        <v>37</v>
      </c>
      <c r="H23" s="25"/>
      <c r="I23" s="25"/>
      <c r="J23" s="25" t="s">
        <v>38</v>
      </c>
      <c r="K23" s="25"/>
      <c r="L23" s="25"/>
      <c r="M23" s="25"/>
      <c r="N23" s="25" t="s">
        <v>39</v>
      </c>
      <c r="O23" s="25"/>
      <c r="P23" s="25"/>
    </row>
    <row customHeight="true" ht="42" r="24">
      <c r="A24" s="26" t="s">
        <v>40</v>
      </c>
      <c r="B24" s="26"/>
      <c r="C24" s="26"/>
      <c r="D24" s="26" t="s">
        <v>41</v>
      </c>
      <c r="E24" s="26"/>
      <c r="F24" s="26"/>
      <c r="G24" s="26" t="s">
        <v>42</v>
      </c>
      <c r="H24" s="26"/>
      <c r="I24" s="26"/>
      <c r="J24" s="26" t="s">
        <v>43</v>
      </c>
      <c r="K24" s="26"/>
      <c r="L24" s="26"/>
      <c r="M24" s="26"/>
      <c r="N24" s="26" t="s">
        <v>44</v>
      </c>
      <c r="O24" s="26"/>
      <c r="P24" s="26"/>
    </row>
    <row customHeight="true" ht="54" r="25">
      <c r="A25" s="25" t="s">
        <v>45</v>
      </c>
      <c r="B25" s="25"/>
      <c r="C25" s="25"/>
      <c r="D25" s="25" t="s">
        <v>46</v>
      </c>
      <c r="E25" s="25"/>
      <c r="F25" s="25"/>
      <c r="G25" s="25" t="s">
        <v>47</v>
      </c>
      <c r="H25" s="25"/>
      <c r="I25" s="25"/>
      <c r="J25" s="25" t="s">
        <v>48</v>
      </c>
      <c r="K25" s="25"/>
      <c r="L25" s="25"/>
      <c r="M25" s="25"/>
      <c r="N25" s="25" t="s">
        <v>49</v>
      </c>
      <c r="O25" s="25"/>
      <c r="P25" s="25"/>
    </row>
    <row customHeight="true" ht="42" r="26">
      <c r="A26" s="26" t="s">
        <v>50</v>
      </c>
      <c r="B26" s="26"/>
      <c r="C26" s="26"/>
      <c r="D26" s="26" t="s">
        <v>51</v>
      </c>
      <c r="E26" s="26"/>
      <c r="F26" s="26"/>
      <c r="G26" s="26" t="s">
        <v>52</v>
      </c>
      <c r="H26" s="26"/>
      <c r="I26" s="26"/>
      <c r="J26" s="26" t="s">
        <v>53</v>
      </c>
      <c r="K26" s="26"/>
      <c r="L26" s="26"/>
      <c r="M26" s="26"/>
      <c r="N26" s="26" t="s">
        <v>54</v>
      </c>
      <c r="O26" s="26"/>
      <c r="P26" s="26"/>
    </row>
    <row customHeight="true" ht="42" r="27">
      <c r="A27" s="25" t="s">
        <v>55</v>
      </c>
      <c r="B27" s="25"/>
      <c r="C27" s="25"/>
      <c r="D27" s="25" t="s">
        <v>56</v>
      </c>
      <c r="E27" s="25"/>
      <c r="F27" s="25"/>
      <c r="G27" s="25" t="s">
        <v>57</v>
      </c>
      <c r="H27" s="25"/>
      <c r="I27" s="25"/>
      <c r="J27" s="25" t="s">
        <v>58</v>
      </c>
      <c r="K27" s="25"/>
      <c r="L27" s="25"/>
      <c r="M27" s="25"/>
      <c r="N27" s="25" t="s">
        <v>59</v>
      </c>
      <c r="O27" s="25"/>
      <c r="P27" s="25"/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</row>
    <row r="30">
      <c r="A30" s="12" t="s">
        <v>60</v>
      </c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</row>
    <row r="31">
      <c r="A31" s="13" t="s">
        <v>61</v>
      </c>
      <c r="B31" s="14"/>
      <c r="C31" s="14"/>
      <c r="D31" s="14" t="s">
        <v>62</v>
      </c>
      <c r="E31" s="14"/>
      <c r="F31" s="14"/>
      <c r="G31" s="14"/>
      <c r="H31" s="14"/>
      <c r="I31" s="14" t="s">
        <v>63</v>
      </c>
      <c r="J31" s="14"/>
      <c r="K31" s="14"/>
      <c r="L31" s="14"/>
      <c r="M31" s="14" t="s">
        <v>64</v>
      </c>
      <c r="N31" s="14"/>
      <c r="O31" s="14"/>
      <c r="P31" s="15"/>
    </row>
    <row customHeight="true" ht="48" r="32">
      <c r="A32" s="27" t="s">
        <v>65</v>
      </c>
      <c r="B32" s="25"/>
      <c r="C32" s="25"/>
      <c r="D32" s="25" t="s">
        <v>66</v>
      </c>
      <c r="E32" s="25"/>
      <c r="F32" s="25"/>
      <c r="G32" s="25"/>
      <c r="H32" s="25"/>
      <c r="I32" s="25" t="s">
        <v>67</v>
      </c>
      <c r="J32" s="25"/>
      <c r="K32" s="25"/>
      <c r="L32" s="25"/>
      <c r="M32" s="28" t="s">
        <v>68</v>
      </c>
      <c r="N32" s="25"/>
      <c r="O32" s="25"/>
      <c r="P32" s="25"/>
    </row>
    <row customHeight="true" ht="48" r="33">
      <c r="A33" s="29" t="s">
        <v>69</v>
      </c>
      <c r="B33" s="26"/>
      <c r="C33" s="26"/>
      <c r="D33" s="26" t="s">
        <v>70</v>
      </c>
      <c r="E33" s="26"/>
      <c r="F33" s="26"/>
      <c r="G33" s="26"/>
      <c r="H33" s="26"/>
      <c r="I33" s="26" t="s">
        <v>71</v>
      </c>
      <c r="J33" s="26"/>
      <c r="K33" s="26"/>
      <c r="L33" s="26"/>
      <c r="M33" s="30" t="s">
        <v>72</v>
      </c>
      <c r="N33" s="26"/>
      <c r="O33" s="26"/>
      <c r="P33" s="26"/>
    </row>
    <row customHeight="true" ht="48" r="34">
      <c r="A34" s="27" t="s">
        <v>73</v>
      </c>
      <c r="B34" s="25"/>
      <c r="C34" s="25"/>
      <c r="D34" s="25" t="s">
        <v>74</v>
      </c>
      <c r="E34" s="25"/>
      <c r="F34" s="25"/>
      <c r="G34" s="25"/>
      <c r="H34" s="25"/>
      <c r="I34" s="25" t="s">
        <v>75</v>
      </c>
      <c r="J34" s="25"/>
      <c r="K34" s="25"/>
      <c r="L34" s="25"/>
      <c r="M34" s="28" t="s">
        <v>76</v>
      </c>
      <c r="N34" s="25"/>
      <c r="O34" s="25"/>
      <c r="P34" s="25"/>
    </row>
    <row customHeight="true" ht="48" r="35">
      <c r="A35" s="29" t="s">
        <v>77</v>
      </c>
      <c r="B35" s="26"/>
      <c r="C35" s="26"/>
      <c r="D35" s="26" t="s">
        <v>78</v>
      </c>
      <c r="E35" s="26"/>
      <c r="F35" s="26"/>
      <c r="G35" s="26"/>
      <c r="H35" s="26"/>
      <c r="I35" s="26" t="s">
        <v>79</v>
      </c>
      <c r="J35" s="26"/>
      <c r="K35" s="26"/>
      <c r="L35" s="26"/>
      <c r="M35" s="31" t="s">
        <v>80</v>
      </c>
      <c r="N35" s="26"/>
      <c r="O35" s="26"/>
      <c r="P35" s="26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</row>
    <row r="38">
      <c r="A38" s="12" t="s">
        <v>81</v>
      </c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</row>
    <row r="39">
      <c r="A39" s="13" t="s">
        <v>82</v>
      </c>
      <c r="B39" s="14"/>
      <c r="C39" s="14"/>
      <c r="D39" s="14"/>
      <c r="E39" s="14" t="s">
        <v>83</v>
      </c>
      <c r="F39" s="14"/>
      <c r="G39" s="14"/>
      <c r="H39" s="14"/>
      <c r="I39" s="14" t="s">
        <v>84</v>
      </c>
      <c r="J39" s="14"/>
      <c r="K39" s="14"/>
      <c r="L39" s="14"/>
      <c r="M39" s="14" t="s">
        <v>85</v>
      </c>
      <c r="N39" s="14"/>
      <c r="O39" s="14"/>
      <c r="P39" s="15"/>
    </row>
    <row customHeight="true" ht="52" r="40">
      <c r="A40" s="32" t="s">
        <v>86</v>
      </c>
      <c r="B40" s="32"/>
      <c r="C40" s="32"/>
      <c r="D40" s="32"/>
      <c r="E40" s="32" t="s">
        <v>87</v>
      </c>
      <c r="F40" s="32"/>
      <c r="G40" s="32"/>
      <c r="H40" s="32"/>
      <c r="I40" s="32" t="s">
        <v>88</v>
      </c>
      <c r="J40" s="32"/>
      <c r="K40" s="32"/>
      <c r="L40" s="32"/>
      <c r="M40" s="33" t="s">
        <v>89</v>
      </c>
      <c r="N40" s="32"/>
      <c r="O40" s="32"/>
      <c r="P40" s="32"/>
    </row>
    <row customHeight="true" ht="52" r="41">
      <c r="A41" s="34" t="s">
        <v>90</v>
      </c>
      <c r="B41" s="34"/>
      <c r="C41" s="34"/>
      <c r="D41" s="34"/>
      <c r="E41" s="34" t="s">
        <v>91</v>
      </c>
      <c r="F41" s="34"/>
      <c r="G41" s="34"/>
      <c r="H41" s="34"/>
      <c r="I41" s="34" t="s">
        <v>92</v>
      </c>
      <c r="J41" s="34"/>
      <c r="K41" s="34"/>
      <c r="L41" s="34"/>
      <c r="M41" s="35" t="s">
        <v>93</v>
      </c>
      <c r="N41" s="34"/>
      <c r="O41" s="34"/>
      <c r="P41" s="34"/>
    </row>
    <row customHeight="true" ht="64" r="42">
      <c r="A42" s="36" t="s">
        <v>94</v>
      </c>
      <c r="B42" s="36"/>
      <c r="C42" s="36"/>
      <c r="D42" s="36"/>
      <c r="E42" s="36" t="s">
        <v>95</v>
      </c>
      <c r="F42" s="36"/>
      <c r="G42" s="36"/>
      <c r="H42" s="36"/>
      <c r="I42" s="36" t="s">
        <v>96</v>
      </c>
      <c r="J42" s="36"/>
      <c r="K42" s="36"/>
      <c r="L42" s="36"/>
      <c r="M42" s="37" t="s">
        <v>97</v>
      </c>
      <c r="N42" s="36"/>
      <c r="O42" s="36"/>
      <c r="P42" s="36"/>
    </row>
    <row customHeight="true" ht="52" r="43">
      <c r="A43" s="34" t="s">
        <v>98</v>
      </c>
      <c r="B43" s="34"/>
      <c r="C43" s="34"/>
      <c r="D43" s="34"/>
      <c r="E43" s="34" t="s">
        <v>99</v>
      </c>
      <c r="F43" s="34"/>
      <c r="G43" s="34"/>
      <c r="H43" s="34"/>
      <c r="I43" s="34" t="s">
        <v>100</v>
      </c>
      <c r="J43" s="34"/>
      <c r="K43" s="34"/>
      <c r="L43" s="34"/>
      <c r="M43" s="34" t="s">
        <v>101</v>
      </c>
      <c r="N43" s="34"/>
      <c r="O43" s="34"/>
      <c r="P43" s="34"/>
    </row>
    <row customHeight="true" ht="64" r="44">
      <c r="A44" s="36" t="s">
        <v>102</v>
      </c>
      <c r="B44" s="36"/>
      <c r="C44" s="36"/>
      <c r="D44" s="36"/>
      <c r="E44" s="36" t="s">
        <v>103</v>
      </c>
      <c r="F44" s="36"/>
      <c r="G44" s="36"/>
      <c r="H44" s="36"/>
      <c r="I44" s="36" t="s">
        <v>104</v>
      </c>
      <c r="J44" s="36"/>
      <c r="K44" s="36"/>
      <c r="L44" s="36"/>
      <c r="M44" s="37" t="s">
        <v>105</v>
      </c>
      <c r="N44" s="36"/>
      <c r="O44" s="36"/>
      <c r="P44" s="36"/>
    </row>
    <row customHeight="true" ht="64" r="45">
      <c r="A45" s="36" t="s">
        <v>106</v>
      </c>
      <c r="B45" s="36"/>
      <c r="C45" s="36"/>
      <c r="D45" s="36"/>
      <c r="E45" s="36" t="s">
        <v>107</v>
      </c>
      <c r="F45" s="36"/>
      <c r="G45" s="36"/>
      <c r="H45" s="36"/>
      <c r="I45" s="36" t="s">
        <v>108</v>
      </c>
      <c r="J45" s="36"/>
      <c r="K45" s="36"/>
      <c r="L45" s="36"/>
      <c r="M45" s="37" t="s">
        <v>109</v>
      </c>
      <c r="N45" s="36"/>
      <c r="O45" s="36"/>
      <c r="P45" s="36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</row>
    <row r="47">
      <c r="A47" s="12" t="s">
        <v>110</v>
      </c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</row>
    <row customHeight="true" ht="42" r="48">
      <c r="A48" s="38" t="s">
        <v>111</v>
      </c>
      <c r="B48" s="39"/>
      <c r="C48" s="39"/>
      <c r="D48" s="39"/>
      <c r="E48" s="39"/>
      <c r="F48" s="39"/>
      <c r="G48" s="39"/>
      <c r="H48" s="39"/>
      <c r="I48" s="39"/>
      <c r="J48" s="39"/>
      <c r="K48" s="39"/>
      <c r="L48" s="39"/>
      <c r="M48" s="39"/>
      <c r="N48" s="39"/>
      <c r="O48" s="39"/>
      <c r="P48" s="39"/>
    </row>
    <row r="49">
      <c r="A49" s="13" t="s">
        <v>112</v>
      </c>
      <c r="B49" s="14"/>
      <c r="C49" s="14"/>
      <c r="D49" s="14"/>
      <c r="E49" s="14"/>
      <c r="F49" s="14"/>
      <c r="G49" s="14" t="s">
        <v>113</v>
      </c>
      <c r="H49" s="14"/>
      <c r="I49" s="14"/>
      <c r="J49" s="14" t="s">
        <v>114</v>
      </c>
      <c r="K49" s="14"/>
      <c r="L49" s="14"/>
      <c r="M49" s="14" t="s">
        <v>115</v>
      </c>
      <c r="N49" s="14"/>
      <c r="O49" s="14"/>
      <c r="P49" s="15"/>
    </row>
    <row customHeight="true" ht="42" r="50">
      <c r="A50" s="40" t="s">
        <v>116</v>
      </c>
      <c r="B50" s="40"/>
      <c r="C50" s="40"/>
      <c r="D50" s="40"/>
      <c r="E50" s="40"/>
      <c r="F50" s="40"/>
      <c r="G50" s="41">
        <v>51</v>
      </c>
      <c r="H50" s="42"/>
      <c r="I50" s="42"/>
      <c r="J50" s="43">
        <f>G50*15</f>
      </c>
      <c r="K50" s="42"/>
      <c r="L50" s="42"/>
      <c r="M50" s="40" t="s">
        <v>117</v>
      </c>
      <c r="N50" s="40"/>
      <c r="O50" s="40"/>
      <c r="P50" s="40"/>
    </row>
    <row customHeight="true" ht="42" r="51">
      <c r="A51" s="44" t="s">
        <v>118</v>
      </c>
      <c r="B51" s="44"/>
      <c r="C51" s="44"/>
      <c r="D51" s="44"/>
      <c r="E51" s="44"/>
      <c r="F51" s="44"/>
      <c r="G51" s="45">
        <v>43</v>
      </c>
      <c r="H51" s="46"/>
      <c r="I51" s="46"/>
      <c r="J51" s="47">
        <f>G51*15</f>
      </c>
      <c r="K51" s="46"/>
      <c r="L51" s="46"/>
      <c r="M51" s="44" t="s">
        <v>119</v>
      </c>
      <c r="N51" s="44"/>
      <c r="O51" s="44"/>
      <c r="P51" s="44"/>
    </row>
    <row customHeight="true" ht="50" r="52">
      <c r="A52" s="48" t="s">
        <v>120</v>
      </c>
      <c r="B52" s="48"/>
      <c r="C52" s="48"/>
      <c r="D52" s="48"/>
      <c r="E52" s="48"/>
      <c r="F52" s="48"/>
      <c r="G52" s="49">
        <v>4</v>
      </c>
      <c r="H52" s="50"/>
      <c r="I52" s="50"/>
      <c r="J52" s="51">
        <f>G52*15</f>
      </c>
      <c r="K52" s="50"/>
      <c r="L52" s="50"/>
      <c r="M52" s="48" t="s">
        <v>121</v>
      </c>
      <c r="N52" s="48"/>
      <c r="O52" s="48"/>
      <c r="P52" s="48"/>
    </row>
    <row customHeight="true" ht="42" r="53">
      <c r="A53" s="52" t="s">
        <v>122</v>
      </c>
      <c r="B53" s="52"/>
      <c r="C53" s="52"/>
      <c r="D53" s="52"/>
      <c r="E53" s="52"/>
      <c r="F53" s="52"/>
      <c r="G53" s="53">
        <v>4</v>
      </c>
      <c r="H53" s="54"/>
      <c r="I53" s="54"/>
      <c r="J53" s="55">
        <f>G53*15</f>
      </c>
      <c r="K53" s="54"/>
      <c r="L53" s="54"/>
      <c r="M53" s="52" t="s">
        <v>123</v>
      </c>
      <c r="N53" s="52"/>
      <c r="O53" s="52"/>
      <c r="P53" s="52"/>
    </row>
    <row customHeight="true" ht="42" r="54">
      <c r="A54" s="56" t="s">
        <v>124</v>
      </c>
      <c r="B54" s="56"/>
      <c r="C54" s="56"/>
      <c r="D54" s="56"/>
      <c r="E54" s="56"/>
      <c r="F54" s="56"/>
      <c r="G54" s="57">
        <v>30</v>
      </c>
      <c r="H54" s="58"/>
      <c r="I54" s="58"/>
      <c r="J54" s="59">
        <f>G54*15</f>
      </c>
      <c r="K54" s="58"/>
      <c r="L54" s="58"/>
      <c r="M54" s="56" t="s">
        <v>125</v>
      </c>
      <c r="N54" s="56"/>
      <c r="O54" s="56"/>
      <c r="P54" s="56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</row>
    <row r="57">
      <c r="A57" s="60" t="s">
        <v>126</v>
      </c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</row>
    <row customHeight="true" ht="36" r="58">
      <c r="A58" s="61" t="s">
        <v>127</v>
      </c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</row>
    <row customHeight="true" ht="36" r="59">
      <c r="A59" s="61" t="s">
        <v>128</v>
      </c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</row>
    <row customHeight="true" ht="36" r="60">
      <c r="A60" s="62" t="s">
        <v>129</v>
      </c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</row>
    <row customHeight="true" ht="36" r="61">
      <c r="A61" s="62" t="s">
        <v>130</v>
      </c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</row>
    <row r="63">
      <c r="A63" s="60" t="s">
        <v>131</v>
      </c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</row>
    <row customHeight="true" ht="32" r="64">
      <c r="A64" s="11" t="s">
        <v>132</v>
      </c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</row>
    <row customHeight="true" ht="42" r="65">
      <c r="A65" s="11" t="s">
        <v>133</v>
      </c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</row>
    <row customHeight="true" ht="32" r="66">
      <c r="A66" s="11" t="s">
        <v>134</v>
      </c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</row>
  </sheetData>
  <mergeCells>
    <mergeCell ref="A2:P2"/>
    <mergeCell ref="A4:P4"/>
    <mergeCell ref="A6:P6"/>
    <mergeCell ref="A8:D8"/>
    <mergeCell ref="A9:D11"/>
    <mergeCell ref="E8:H8"/>
    <mergeCell ref="E9:H11"/>
    <mergeCell ref="I8:L8"/>
    <mergeCell ref="I9:L11"/>
    <mergeCell ref="M8:P8"/>
    <mergeCell ref="M9:P11"/>
    <mergeCell ref="A12:P12"/>
    <mergeCell ref="A14:P14"/>
    <mergeCell ref="A15:B15"/>
    <mergeCell ref="C15:E15"/>
    <mergeCell ref="F15:H15"/>
    <mergeCell ref="I15:M15"/>
    <mergeCell ref="N15:P15"/>
    <mergeCell ref="A16:B16"/>
    <mergeCell ref="C16:E16"/>
    <mergeCell ref="F16:H16"/>
    <mergeCell ref="I16:M16"/>
    <mergeCell ref="N16:P16"/>
    <mergeCell ref="A17:B17"/>
    <mergeCell ref="C17:E17"/>
    <mergeCell ref="F17:H17"/>
    <mergeCell ref="I17:M17"/>
    <mergeCell ref="N17:P17"/>
    <mergeCell ref="A18:B18"/>
    <mergeCell ref="C18:E18"/>
    <mergeCell ref="F18:H18"/>
    <mergeCell ref="I18:M18"/>
    <mergeCell ref="N18:P18"/>
    <mergeCell ref="A21:P21"/>
    <mergeCell ref="A22:C22"/>
    <mergeCell ref="D22:F22"/>
    <mergeCell ref="G22:I22"/>
    <mergeCell ref="J22:M22"/>
    <mergeCell ref="N22:P22"/>
    <mergeCell ref="A23:C23"/>
    <mergeCell ref="D23:F23"/>
    <mergeCell ref="G23:I23"/>
    <mergeCell ref="J23:M23"/>
    <mergeCell ref="N23:P23"/>
    <mergeCell ref="A24:C24"/>
    <mergeCell ref="D24:F24"/>
    <mergeCell ref="G24:I24"/>
    <mergeCell ref="J24:M24"/>
    <mergeCell ref="N24:P24"/>
    <mergeCell ref="A25:C25"/>
    <mergeCell ref="D25:F25"/>
    <mergeCell ref="G25:I25"/>
    <mergeCell ref="J25:M25"/>
    <mergeCell ref="N25:P25"/>
    <mergeCell ref="A26:C26"/>
    <mergeCell ref="D26:F26"/>
    <mergeCell ref="G26:I26"/>
    <mergeCell ref="J26:M26"/>
    <mergeCell ref="N26:P26"/>
    <mergeCell ref="A27:C27"/>
    <mergeCell ref="D27:F27"/>
    <mergeCell ref="G27:I27"/>
    <mergeCell ref="J27:M27"/>
    <mergeCell ref="N27:P27"/>
    <mergeCell ref="A30:P30"/>
    <mergeCell ref="A31:C31"/>
    <mergeCell ref="D31:H31"/>
    <mergeCell ref="I31:L31"/>
    <mergeCell ref="M31:P31"/>
    <mergeCell ref="A32:C32"/>
    <mergeCell ref="D32:H32"/>
    <mergeCell ref="I32:L32"/>
    <mergeCell ref="M32:P32"/>
    <mergeCell ref="A33:C33"/>
    <mergeCell ref="D33:H33"/>
    <mergeCell ref="I33:L33"/>
    <mergeCell ref="M33:P33"/>
    <mergeCell ref="A34:C34"/>
    <mergeCell ref="D34:H34"/>
    <mergeCell ref="I34:L34"/>
    <mergeCell ref="M34:P34"/>
    <mergeCell ref="A35:C35"/>
    <mergeCell ref="D35:H35"/>
    <mergeCell ref="I35:L35"/>
    <mergeCell ref="M35:P35"/>
    <mergeCell ref="A38:P38"/>
    <mergeCell ref="A39:D39"/>
    <mergeCell ref="E39:H39"/>
    <mergeCell ref="I39:L39"/>
    <mergeCell ref="M39:P39"/>
    <mergeCell ref="A40:D40"/>
    <mergeCell ref="E40:H40"/>
    <mergeCell ref="I40:L40"/>
    <mergeCell ref="M40:P40"/>
    <mergeCell ref="A41:D41"/>
    <mergeCell ref="E41:H41"/>
    <mergeCell ref="I41:L41"/>
    <mergeCell ref="M41:P41"/>
    <mergeCell ref="A42:D42"/>
    <mergeCell ref="E42:H42"/>
    <mergeCell ref="I42:L42"/>
    <mergeCell ref="M42:P42"/>
    <mergeCell ref="A43:D43"/>
    <mergeCell ref="E43:H43"/>
    <mergeCell ref="I43:L43"/>
    <mergeCell ref="M43:P43"/>
    <mergeCell ref="A44:D44"/>
    <mergeCell ref="E44:H44"/>
    <mergeCell ref="I44:L44"/>
    <mergeCell ref="M44:P44"/>
    <mergeCell ref="A45:D45"/>
    <mergeCell ref="E45:H45"/>
    <mergeCell ref="I45:L45"/>
    <mergeCell ref="M45:P45"/>
    <mergeCell ref="A47:P47"/>
    <mergeCell ref="A48:P48"/>
    <mergeCell ref="A49:F49"/>
    <mergeCell ref="G49:I49"/>
    <mergeCell ref="J49:L49"/>
    <mergeCell ref="M49:P49"/>
    <mergeCell ref="A50:F50"/>
    <mergeCell ref="G50:I50"/>
    <mergeCell ref="J50:L50"/>
    <mergeCell ref="M50:P50"/>
    <mergeCell ref="A51:F51"/>
    <mergeCell ref="G51:I51"/>
    <mergeCell ref="J51:L51"/>
    <mergeCell ref="M51:P51"/>
    <mergeCell ref="A52:F52"/>
    <mergeCell ref="G52:I52"/>
    <mergeCell ref="J52:L52"/>
    <mergeCell ref="M52:P52"/>
    <mergeCell ref="A53:F53"/>
    <mergeCell ref="G53:I53"/>
    <mergeCell ref="J53:L53"/>
    <mergeCell ref="M53:P53"/>
    <mergeCell ref="A54:F54"/>
    <mergeCell ref="G54:I54"/>
    <mergeCell ref="J54:L54"/>
    <mergeCell ref="M54:P54"/>
    <mergeCell ref="A57:P57"/>
    <mergeCell ref="A58:P58"/>
    <mergeCell ref="A59:P59"/>
    <mergeCell ref="A60:P60"/>
    <mergeCell ref="A61:P61"/>
    <mergeCell ref="A63:P63"/>
    <mergeCell ref="A64:P64"/>
    <mergeCell ref="A65:P65"/>
    <mergeCell ref="A66:P66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